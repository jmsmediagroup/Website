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Bills" sheetId="2" state="visible" r:id="rId4"/>
    <sheet name="Money Map" sheetId="3" state="visible" r:id="rId5"/>
    <sheet name="Weekly check-in" sheetId="4" state="visible" r:id="rId6"/>
    <sheet name="ADHD Tax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jmstruijk.com</author>
  </authors>
  <commentList>
    <comment ref="B32" authorId="0">
      <text>
        <r>
          <rPr>
            <sz val="10"/>
            <rFont val="Arial"/>
            <family val="2"/>
          </rPr>
          <t xml:space="preserve">Counts named bills not marked Yes. Each one is a date you have to remember.</t>
        </r>
      </text>
    </comment>
  </commentList>
</comments>
</file>

<file path=xl/sharedStrings.xml><?xml version="1.0" encoding="utf-8"?>
<sst xmlns="http://schemas.openxmlformats.org/spreadsheetml/2006/main" count="67" uniqueCount="66">
  <si>
    <t xml:space="preserve">The ADHD Budget Template</t>
  </si>
  <si>
    <t xml:space="preserve">Free from jmstruijk.com. Follows the structure of The ADHD Budget Planner.</t>
  </si>
  <si>
    <t xml:space="preserve">One hour, once</t>
  </si>
  <si>
    <t xml:space="preserve">1. Bills: list every bill with its amount, the day it is due, and whether it is on autopay.</t>
  </si>
  <si>
    <t xml:space="preserve">2. Money Map: enter what comes in each month and a figure for each flexible category.</t>
  </si>
  <si>
    <t xml:space="preserve">3. Move anything marked No onto autopay, if you can. Each one is a due date you no longer have to remember.</t>
  </si>
  <si>
    <t xml:space="preserve">Ten minutes, once a week</t>
  </si>
  <si>
    <t xml:space="preserve">4. Weekly check-in: write what you spent this week. The sheet compares it with your weekly money.</t>
  </si>
  <si>
    <t xml:space="preserve">5. ADHD Tax log: add any late fee, forgotten subscription or replacement buy when it happens.</t>
  </si>
  <si>
    <t xml:space="preserve">If you miss a week, or a month</t>
  </si>
  <si>
    <t xml:space="preserve">Nothing breaks. The weeks are numbered rather than dated, so start again at the next row.</t>
  </si>
  <si>
    <t xml:space="preserve">Blue numbers are yours to change. Black numbers are worked out for you. Green ones come from another sheet.</t>
  </si>
  <si>
    <t xml:space="preserve">Amounts are in whatever currency you use. Nothing in this file is sent anywhere.</t>
  </si>
  <si>
    <t xml:space="preserve">Bills master list</t>
  </si>
  <si>
    <t xml:space="preserve">Every bill, with the day it is due. Getting these out of your head is the point.</t>
  </si>
  <si>
    <t xml:space="preserve">Bill</t>
  </si>
  <si>
    <t xml:space="preserve">Per month</t>
  </si>
  <si>
    <t xml:space="preserve">Due day (1-31)</t>
  </si>
  <si>
    <t xml:space="preserve">On autopay?</t>
  </si>
  <si>
    <t xml:space="preserve">Notes</t>
  </si>
  <si>
    <t xml:space="preserve">Total bills per month</t>
  </si>
  <si>
    <t xml:space="preserve">Bills not on autopay</t>
  </si>
  <si>
    <t xml:space="preserve">Money map</t>
  </si>
  <si>
    <t xml:space="preserve">One page for the month. Few categories on purpose: every extra one is another decision.</t>
  </si>
  <si>
    <t xml:space="preserve">Note</t>
  </si>
  <si>
    <t xml:space="preserve">Take-home income</t>
  </si>
  <si>
    <t xml:space="preserve">What actually arrives, after tax.</t>
  </si>
  <si>
    <t xml:space="preserve">Bills</t>
  </si>
  <si>
    <t xml:space="preserve">From the Bills sheet.</t>
  </si>
  <si>
    <t xml:space="preserve">Groceries</t>
  </si>
  <si>
    <t xml:space="preserve">Getting around</t>
  </si>
  <si>
    <t xml:space="preserve">Fuel, fares, parking.</t>
  </si>
  <si>
    <t xml:space="preserve">Everything else</t>
  </si>
  <si>
    <t xml:space="preserve">Kept as one figure. Splitting it further rarely survives a month.</t>
  </si>
  <si>
    <t xml:space="preserve">ADHD tax buffer</t>
  </si>
  <si>
    <t xml:space="preserve">Late fees, forgotten subscriptions, replacements. Plan for it. The ADHD Tax Calculator at jmstruijk.com/tools/ gives your own figure.</t>
  </si>
  <si>
    <t xml:space="preserve">Savings</t>
  </si>
  <si>
    <t xml:space="preserve">Moved automatically on payday, ideally.</t>
  </si>
  <si>
    <t xml:space="preserve">Total going out</t>
  </si>
  <si>
    <t xml:space="preserve">Left over</t>
  </si>
  <si>
    <t xml:space="preserve">Weeks in a month</t>
  </si>
  <si>
    <t xml:space="preserve">52 weeks over 12 months, so a month is a little over four weeks.</t>
  </si>
  <si>
    <t xml:space="preserve">Weekly spending money</t>
  </si>
  <si>
    <t xml:space="preserve">Groceries, getting around and everything else, per week. A week is easier to keep track of than a month.</t>
  </si>
  <si>
    <t xml:space="preserve">Weekly check-in</t>
  </si>
  <si>
    <t xml:space="preserve">Ten minutes. Numbered rather than dated, so a missed week costs nothing.</t>
  </si>
  <si>
    <t xml:space="preserve">Week</t>
  </si>
  <si>
    <t xml:space="preserve">Week starting</t>
  </si>
  <si>
    <t xml:space="preserve">Spent this week</t>
  </si>
  <si>
    <t xml:space="preserve">Weekly money</t>
  </si>
  <si>
    <t xml:space="preserve">Difference</t>
  </si>
  <si>
    <t xml:space="preserve">One thing to change</t>
  </si>
  <si>
    <t xml:space="preserve">ADHD Tax log</t>
  </si>
  <si>
    <t xml:space="preserve">Write it down when it happens, without judging it. The pattern is what is useful.</t>
  </si>
  <si>
    <t xml:space="preserve">Date</t>
  </si>
  <si>
    <t xml:space="preserve">What happened</t>
  </si>
  <si>
    <t xml:space="preserve">Type</t>
  </si>
  <si>
    <t xml:space="preserve">Amount</t>
  </si>
  <si>
    <t xml:space="preserve">Could autopay or a reminder stop it?</t>
  </si>
  <si>
    <t xml:space="preserve">Total so far</t>
  </si>
  <si>
    <t xml:space="preserve">Late fee</t>
  </si>
  <si>
    <t xml:space="preserve">Forgotten subscription</t>
  </si>
  <si>
    <t xml:space="preserve">Impulse buy</t>
  </si>
  <si>
    <t xml:space="preserve">Replacement</t>
  </si>
  <si>
    <t xml:space="preserve">Convenience</t>
  </si>
  <si>
    <t xml:space="preserve">Other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</si>
</sst>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1EDE4"/>
        <bgColor rgb="FFFFF6CC"/>
      </patternFill>
    </fill>
    <fill>
      <patternFill patternType="solid">
        <fgColor rgb="FFFFF6CC"/>
        <bgColor rgb="FFF1EDE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EDE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26.8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26.8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5" t="s">
        <v>13</v>
      </c>
    </row>
    <row r="2" customFormat="false" ht="15" hidden="false" customHeight="false" outlineLevel="0" collapsed="false">
      <c r="A2" s="6" t="s">
        <v>14</v>
      </c>
    </row>
    <row r="4" customFormat="false" ht="15" hidden="false" customHeight="false" outlineLevel="0" collapsed="false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</row>
    <row r="5" customFormat="false" ht="15" hidden="false" customHeight="false" outlineLevel="0" collapsed="false">
      <c r="A5" s="8"/>
      <c r="B5" s="9"/>
      <c r="C5" s="10"/>
      <c r="D5" s="10"/>
      <c r="E5" s="8"/>
    </row>
    <row r="6" customFormat="false" ht="15" hidden="false" customHeight="false" outlineLevel="0" collapsed="false">
      <c r="A6" s="8"/>
      <c r="B6" s="9"/>
      <c r="C6" s="10"/>
      <c r="D6" s="10"/>
      <c r="E6" s="8"/>
    </row>
    <row r="7" customFormat="false" ht="15" hidden="false" customHeight="false" outlineLevel="0" collapsed="false">
      <c r="A7" s="8"/>
      <c r="B7" s="9"/>
      <c r="C7" s="10"/>
      <c r="D7" s="10"/>
      <c r="E7" s="8"/>
    </row>
    <row r="8" customFormat="false" ht="15" hidden="false" customHeight="false" outlineLevel="0" collapsed="false">
      <c r="A8" s="8"/>
      <c r="B8" s="9"/>
      <c r="C8" s="10"/>
      <c r="D8" s="10"/>
      <c r="E8" s="8"/>
    </row>
    <row r="9" customFormat="false" ht="15" hidden="false" customHeight="false" outlineLevel="0" collapsed="false">
      <c r="A9" s="8"/>
      <c r="B9" s="9"/>
      <c r="C9" s="10"/>
      <c r="D9" s="10"/>
      <c r="E9" s="8"/>
    </row>
    <row r="10" customFormat="false" ht="15" hidden="false" customHeight="false" outlineLevel="0" collapsed="false">
      <c r="A10" s="8"/>
      <c r="B10" s="9"/>
      <c r="C10" s="10"/>
      <c r="D10" s="10"/>
      <c r="E10" s="8"/>
    </row>
    <row r="11" customFormat="false" ht="15" hidden="false" customHeight="false" outlineLevel="0" collapsed="false">
      <c r="A11" s="8"/>
      <c r="B11" s="9"/>
      <c r="C11" s="10"/>
      <c r="D11" s="10"/>
      <c r="E11" s="8"/>
    </row>
    <row r="12" customFormat="false" ht="15" hidden="false" customHeight="false" outlineLevel="0" collapsed="false">
      <c r="A12" s="8"/>
      <c r="B12" s="9"/>
      <c r="C12" s="10"/>
      <c r="D12" s="10"/>
      <c r="E12" s="8"/>
    </row>
    <row r="13" customFormat="false" ht="15" hidden="false" customHeight="false" outlineLevel="0" collapsed="false">
      <c r="A13" s="8"/>
      <c r="B13" s="9"/>
      <c r="C13" s="10"/>
      <c r="D13" s="10"/>
      <c r="E13" s="8"/>
    </row>
    <row r="14" customFormat="false" ht="15" hidden="false" customHeight="false" outlineLevel="0" collapsed="false">
      <c r="A14" s="8"/>
      <c r="B14" s="9"/>
      <c r="C14" s="10"/>
      <c r="D14" s="10"/>
      <c r="E14" s="8"/>
    </row>
    <row r="15" customFormat="false" ht="15" hidden="false" customHeight="false" outlineLevel="0" collapsed="false">
      <c r="A15" s="8"/>
      <c r="B15" s="9"/>
      <c r="C15" s="10"/>
      <c r="D15" s="10"/>
      <c r="E15" s="8"/>
    </row>
    <row r="16" customFormat="false" ht="15" hidden="false" customHeight="false" outlineLevel="0" collapsed="false">
      <c r="A16" s="8"/>
      <c r="B16" s="9"/>
      <c r="C16" s="10"/>
      <c r="D16" s="10"/>
      <c r="E16" s="8"/>
    </row>
    <row r="17" customFormat="false" ht="15" hidden="false" customHeight="false" outlineLevel="0" collapsed="false">
      <c r="A17" s="8"/>
      <c r="B17" s="9"/>
      <c r="C17" s="10"/>
      <c r="D17" s="10"/>
      <c r="E17" s="8"/>
    </row>
    <row r="18" customFormat="false" ht="15" hidden="false" customHeight="false" outlineLevel="0" collapsed="false">
      <c r="A18" s="8"/>
      <c r="B18" s="9"/>
      <c r="C18" s="10"/>
      <c r="D18" s="10"/>
      <c r="E18" s="8"/>
    </row>
    <row r="19" customFormat="false" ht="15" hidden="false" customHeight="false" outlineLevel="0" collapsed="false">
      <c r="A19" s="8"/>
      <c r="B19" s="9"/>
      <c r="C19" s="10"/>
      <c r="D19" s="10"/>
      <c r="E19" s="8"/>
    </row>
    <row r="20" customFormat="false" ht="15" hidden="false" customHeight="false" outlineLevel="0" collapsed="false">
      <c r="A20" s="8"/>
      <c r="B20" s="9"/>
      <c r="C20" s="10"/>
      <c r="D20" s="10"/>
      <c r="E20" s="8"/>
    </row>
    <row r="21" customFormat="false" ht="15" hidden="false" customHeight="false" outlineLevel="0" collapsed="false">
      <c r="A21" s="8"/>
      <c r="B21" s="9"/>
      <c r="C21" s="10"/>
      <c r="D21" s="10"/>
      <c r="E21" s="8"/>
    </row>
    <row r="22" customFormat="false" ht="15" hidden="false" customHeight="false" outlineLevel="0" collapsed="false">
      <c r="A22" s="8"/>
      <c r="B22" s="9"/>
      <c r="C22" s="10"/>
      <c r="D22" s="10"/>
      <c r="E22" s="8"/>
    </row>
    <row r="23" customFormat="false" ht="15" hidden="false" customHeight="false" outlineLevel="0" collapsed="false">
      <c r="A23" s="8"/>
      <c r="B23" s="9"/>
      <c r="C23" s="10"/>
      <c r="D23" s="10"/>
      <c r="E23" s="8"/>
    </row>
    <row r="24" customFormat="false" ht="15" hidden="false" customHeight="false" outlineLevel="0" collapsed="false">
      <c r="A24" s="8"/>
      <c r="B24" s="9"/>
      <c r="C24" s="10"/>
      <c r="D24" s="10"/>
      <c r="E24" s="8"/>
    </row>
    <row r="25" customFormat="false" ht="15" hidden="false" customHeight="false" outlineLevel="0" collapsed="false">
      <c r="A25" s="8"/>
      <c r="B25" s="9"/>
      <c r="C25" s="10"/>
      <c r="D25" s="10"/>
      <c r="E25" s="8"/>
    </row>
    <row r="26" customFormat="false" ht="15" hidden="false" customHeight="false" outlineLevel="0" collapsed="false">
      <c r="A26" s="8"/>
      <c r="B26" s="9"/>
      <c r="C26" s="10"/>
      <c r="D26" s="10"/>
      <c r="E26" s="8"/>
    </row>
    <row r="27" customFormat="false" ht="15" hidden="false" customHeight="false" outlineLevel="0" collapsed="false">
      <c r="A27" s="8"/>
      <c r="B27" s="9"/>
      <c r="C27" s="10"/>
      <c r="D27" s="10"/>
      <c r="E27" s="8"/>
    </row>
    <row r="28" customFormat="false" ht="15" hidden="false" customHeight="false" outlineLevel="0" collapsed="false">
      <c r="A28" s="8"/>
      <c r="B28" s="9"/>
      <c r="C28" s="10"/>
      <c r="D28" s="10"/>
      <c r="E28" s="8"/>
    </row>
    <row r="29" customFormat="false" ht="15" hidden="false" customHeight="false" outlineLevel="0" collapsed="false">
      <c r="A29" s="8"/>
      <c r="B29" s="9"/>
      <c r="C29" s="10"/>
      <c r="D29" s="10"/>
      <c r="E29" s="8"/>
    </row>
    <row r="31" customFormat="false" ht="15" hidden="false" customHeight="false" outlineLevel="0" collapsed="false">
      <c r="A31" s="11" t="s">
        <v>20</v>
      </c>
      <c r="B31" s="12" t="n">
        <f aca="false">SUM(B5:B29)</f>
        <v>0</v>
      </c>
    </row>
    <row r="32" customFormat="false" ht="15" hidden="false" customHeight="false" outlineLevel="0" collapsed="false">
      <c r="A32" s="11" t="s">
        <v>21</v>
      </c>
      <c r="B32" s="13" t="n">
        <f aca="false">COUNTIFS(A5:A29,"&lt;&gt;",D5:D29,"&lt;&gt;Yes")</f>
        <v>0</v>
      </c>
    </row>
  </sheetData>
  <dataValidations count="2">
    <dataValidation allowBlank="true" errorStyle="stop" operator="between" showDropDown="false" showErrorMessage="false" showInputMessage="false" sqref="D5:D29" type="list">
      <formula1>"Yes,No"</formula1>
      <formula2>0</formula2>
    </dataValidation>
    <dataValidation allowBlank="true" error="Enter a day of the month from 1 to 31." errorStyle="stop" operator="between" showDropDown="false" showErrorMessage="true" showInputMessage="false" sqref="C5:C29" type="whole">
      <formula1>1</formula1>
      <formula2>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58"/>
  </cols>
  <sheetData>
    <row r="1" customFormat="false" ht="19.7" hidden="false" customHeight="false" outlineLevel="0" collapsed="false">
      <c r="A1" s="5" t="s">
        <v>22</v>
      </c>
    </row>
    <row r="2" customFormat="false" ht="15" hidden="false" customHeight="false" outlineLevel="0" collapsed="false">
      <c r="A2" s="6" t="s">
        <v>23</v>
      </c>
    </row>
    <row r="4" customFormat="false" ht="15" hidden="false" customHeight="false" outlineLevel="0" collapsed="false">
      <c r="A4" s="7"/>
      <c r="B4" s="7" t="s">
        <v>16</v>
      </c>
      <c r="C4" s="7" t="s">
        <v>24</v>
      </c>
    </row>
    <row r="5" customFormat="false" ht="15" hidden="false" customHeight="false" outlineLevel="0" collapsed="false">
      <c r="A5" s="8" t="s">
        <v>25</v>
      </c>
      <c r="B5" s="9"/>
      <c r="C5" s="2" t="s">
        <v>26</v>
      </c>
    </row>
    <row r="7" customFormat="false" ht="15" hidden="false" customHeight="false" outlineLevel="0" collapsed="false">
      <c r="A7" s="8" t="s">
        <v>27</v>
      </c>
      <c r="B7" s="14" t="n">
        <f aca="false">Bills!$B$31</f>
        <v>0</v>
      </c>
      <c r="C7" s="2" t="s">
        <v>28</v>
      </c>
    </row>
    <row r="8" customFormat="false" ht="15" hidden="false" customHeight="false" outlineLevel="0" collapsed="false">
      <c r="A8" s="8" t="s">
        <v>29</v>
      </c>
      <c r="B8" s="9"/>
      <c r="C8" s="2"/>
    </row>
    <row r="9" customFormat="false" ht="15" hidden="false" customHeight="false" outlineLevel="0" collapsed="false">
      <c r="A9" s="8" t="s">
        <v>30</v>
      </c>
      <c r="B9" s="9"/>
      <c r="C9" s="2" t="s">
        <v>31</v>
      </c>
    </row>
    <row r="10" customFormat="false" ht="15" hidden="false" customHeight="false" outlineLevel="0" collapsed="false">
      <c r="A10" s="8" t="s">
        <v>32</v>
      </c>
      <c r="B10" s="9"/>
      <c r="C10" s="2" t="s">
        <v>33</v>
      </c>
    </row>
    <row r="11" customFormat="false" ht="23.85" hidden="false" customHeight="false" outlineLevel="0" collapsed="false">
      <c r="A11" s="8" t="s">
        <v>34</v>
      </c>
      <c r="B11" s="9"/>
      <c r="C11" s="2" t="s">
        <v>35</v>
      </c>
    </row>
    <row r="12" customFormat="false" ht="15" hidden="false" customHeight="false" outlineLevel="0" collapsed="false">
      <c r="A12" s="8" t="s">
        <v>36</v>
      </c>
      <c r="B12" s="9"/>
      <c r="C12" s="2" t="s">
        <v>37</v>
      </c>
    </row>
    <row r="14" customFormat="false" ht="15" hidden="false" customHeight="false" outlineLevel="0" collapsed="false">
      <c r="A14" s="11" t="s">
        <v>38</v>
      </c>
      <c r="B14" s="15" t="n">
        <f aca="false">SUM(B7:B12)</f>
        <v>0</v>
      </c>
    </row>
    <row r="15" customFormat="false" ht="15" hidden="false" customHeight="false" outlineLevel="0" collapsed="false">
      <c r="A15" s="11" t="s">
        <v>39</v>
      </c>
      <c r="B15" s="12" t="n">
        <f aca="false">B5-B14</f>
        <v>0</v>
      </c>
      <c r="C15" s="6" t="str">
        <f aca="false">IF(B5=0,"Enter your income first.",IF(B15&lt;0,"The plan spends more than comes in. Trim a flexible figure.","Balanced."))</f>
        <v>Enter your income first.</v>
      </c>
    </row>
    <row r="17" customFormat="false" ht="15" hidden="false" customHeight="false" outlineLevel="0" collapsed="false">
      <c r="A17" s="8" t="s">
        <v>40</v>
      </c>
      <c r="B17" s="16" t="n">
        <f aca="false">52/12</f>
        <v>4.33333333333333</v>
      </c>
      <c r="C17" s="6" t="s">
        <v>41</v>
      </c>
    </row>
    <row r="18" customFormat="false" ht="23.85" hidden="false" customHeight="false" outlineLevel="0" collapsed="false">
      <c r="A18" s="11" t="s">
        <v>42</v>
      </c>
      <c r="B18" s="12" t="n">
        <f aca="false">SUM(B8:B10)/B17</f>
        <v>0</v>
      </c>
      <c r="C18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5" t="s">
        <v>44</v>
      </c>
    </row>
    <row r="2" customFormat="false" ht="15" hidden="false" customHeight="false" outlineLevel="0" collapsed="false">
      <c r="A2" s="6" t="s">
        <v>45</v>
      </c>
    </row>
    <row r="4" customFormat="false" ht="15" hidden="false" customHeight="false" outlineLevel="0" collapsed="false">
      <c r="A4" s="7" t="s">
        <v>46</v>
      </c>
      <c r="B4" s="7" t="s">
        <v>47</v>
      </c>
      <c r="C4" s="7" t="s">
        <v>48</v>
      </c>
      <c r="D4" s="7" t="s">
        <v>49</v>
      </c>
      <c r="E4" s="7" t="s">
        <v>50</v>
      </c>
      <c r="F4" s="7" t="s">
        <v>51</v>
      </c>
    </row>
    <row r="5" customFormat="false" ht="15" hidden="false" customHeight="false" outlineLevel="0" collapsed="false">
      <c r="A5" s="8" t="n">
        <v>1</v>
      </c>
      <c r="B5" s="10"/>
      <c r="C5" s="9"/>
      <c r="D5" s="14" t="n">
        <f aca="false">'Money Map'!$B$18</f>
        <v>0</v>
      </c>
      <c r="E5" s="17" t="str">
        <f aca="false">IF(C5="","",D5-C5)</f>
        <v/>
      </c>
      <c r="F5" s="8"/>
    </row>
    <row r="6" customFormat="false" ht="15" hidden="false" customHeight="false" outlineLevel="0" collapsed="false">
      <c r="A6" s="8" t="n">
        <v>2</v>
      </c>
      <c r="B6" s="10"/>
      <c r="C6" s="9"/>
      <c r="D6" s="14" t="n">
        <f aca="false">'Money Map'!$B$18</f>
        <v>0</v>
      </c>
      <c r="E6" s="17" t="str">
        <f aca="false">IF(C6="","",D6-C6)</f>
        <v/>
      </c>
      <c r="F6" s="8"/>
    </row>
    <row r="7" customFormat="false" ht="15" hidden="false" customHeight="false" outlineLevel="0" collapsed="false">
      <c r="A7" s="8" t="n">
        <v>3</v>
      </c>
      <c r="B7" s="10"/>
      <c r="C7" s="9"/>
      <c r="D7" s="14" t="n">
        <f aca="false">'Money Map'!$B$18</f>
        <v>0</v>
      </c>
      <c r="E7" s="17" t="str">
        <f aca="false">IF(C7="","",D7-C7)</f>
        <v/>
      </c>
      <c r="F7" s="8"/>
    </row>
    <row r="8" customFormat="false" ht="15" hidden="false" customHeight="false" outlineLevel="0" collapsed="false">
      <c r="A8" s="8" t="n">
        <v>4</v>
      </c>
      <c r="B8" s="10"/>
      <c r="C8" s="9"/>
      <c r="D8" s="14" t="n">
        <f aca="false">'Money Map'!$B$18</f>
        <v>0</v>
      </c>
      <c r="E8" s="17" t="str">
        <f aca="false">IF(C8="","",D8-C8)</f>
        <v/>
      </c>
      <c r="F8" s="8"/>
    </row>
    <row r="9" customFormat="false" ht="15" hidden="false" customHeight="false" outlineLevel="0" collapsed="false">
      <c r="A9" s="8" t="n">
        <v>5</v>
      </c>
      <c r="B9" s="10"/>
      <c r="C9" s="9"/>
      <c r="D9" s="14" t="n">
        <f aca="false">'Money Map'!$B$18</f>
        <v>0</v>
      </c>
      <c r="E9" s="17" t="str">
        <f aca="false">IF(C9="","",D9-C9)</f>
        <v/>
      </c>
      <c r="F9" s="8"/>
    </row>
    <row r="10" customFormat="false" ht="15" hidden="false" customHeight="false" outlineLevel="0" collapsed="false">
      <c r="A10" s="8" t="n">
        <v>6</v>
      </c>
      <c r="B10" s="10"/>
      <c r="C10" s="9"/>
      <c r="D10" s="14" t="n">
        <f aca="false">'Money Map'!$B$18</f>
        <v>0</v>
      </c>
      <c r="E10" s="17" t="str">
        <f aca="false">IF(C10="","",D10-C10)</f>
        <v/>
      </c>
      <c r="F10" s="8"/>
    </row>
    <row r="11" customFormat="false" ht="15" hidden="false" customHeight="false" outlineLevel="0" collapsed="false">
      <c r="A11" s="8" t="n">
        <v>7</v>
      </c>
      <c r="B11" s="10"/>
      <c r="C11" s="9"/>
      <c r="D11" s="14" t="n">
        <f aca="false">'Money Map'!$B$18</f>
        <v>0</v>
      </c>
      <c r="E11" s="17" t="str">
        <f aca="false">IF(C11="","",D11-C11)</f>
        <v/>
      </c>
      <c r="F11" s="8"/>
    </row>
    <row r="12" customFormat="false" ht="15" hidden="false" customHeight="false" outlineLevel="0" collapsed="false">
      <c r="A12" s="8" t="n">
        <v>8</v>
      </c>
      <c r="B12" s="10"/>
      <c r="C12" s="9"/>
      <c r="D12" s="14" t="n">
        <f aca="false">'Money Map'!$B$18</f>
        <v>0</v>
      </c>
      <c r="E12" s="17" t="str">
        <f aca="false">IF(C12="","",D12-C12)</f>
        <v/>
      </c>
      <c r="F12" s="8"/>
    </row>
    <row r="13" customFormat="false" ht="15" hidden="false" customHeight="false" outlineLevel="0" collapsed="false">
      <c r="A13" s="8" t="n">
        <v>9</v>
      </c>
      <c r="B13" s="10"/>
      <c r="C13" s="9"/>
      <c r="D13" s="14" t="n">
        <f aca="false">'Money Map'!$B$18</f>
        <v>0</v>
      </c>
      <c r="E13" s="17" t="str">
        <f aca="false">IF(C13="","",D13-C13)</f>
        <v/>
      </c>
      <c r="F13" s="8"/>
    </row>
    <row r="14" customFormat="false" ht="15" hidden="false" customHeight="false" outlineLevel="0" collapsed="false">
      <c r="A14" s="8" t="n">
        <v>10</v>
      </c>
      <c r="B14" s="10"/>
      <c r="C14" s="9"/>
      <c r="D14" s="14" t="n">
        <f aca="false">'Money Map'!$B$18</f>
        <v>0</v>
      </c>
      <c r="E14" s="17" t="str">
        <f aca="false">IF(C14="","",D14-C14)</f>
        <v/>
      </c>
      <c r="F14" s="8"/>
    </row>
    <row r="15" customFormat="false" ht="15" hidden="false" customHeight="false" outlineLevel="0" collapsed="false">
      <c r="A15" s="8" t="n">
        <v>11</v>
      </c>
      <c r="B15" s="10"/>
      <c r="C15" s="9"/>
      <c r="D15" s="14" t="n">
        <f aca="false">'Money Map'!$B$18</f>
        <v>0</v>
      </c>
      <c r="E15" s="17" t="str">
        <f aca="false">IF(C15="","",D15-C15)</f>
        <v/>
      </c>
      <c r="F15" s="8"/>
    </row>
    <row r="16" customFormat="false" ht="15" hidden="false" customHeight="false" outlineLevel="0" collapsed="false">
      <c r="A16" s="8" t="n">
        <v>12</v>
      </c>
      <c r="B16" s="10"/>
      <c r="C16" s="9"/>
      <c r="D16" s="14" t="n">
        <f aca="false">'Money Map'!$B$18</f>
        <v>0</v>
      </c>
      <c r="E16" s="17" t="str">
        <f aca="false">IF(C16="","",D16-C16)</f>
        <v/>
      </c>
      <c r="F16" s="8"/>
    </row>
    <row r="17" customFormat="false" ht="15" hidden="false" customHeight="false" outlineLevel="0" collapsed="false">
      <c r="A17" s="8" t="n">
        <v>13</v>
      </c>
      <c r="B17" s="10"/>
      <c r="C17" s="9"/>
      <c r="D17" s="14" t="n">
        <f aca="false">'Money Map'!$B$18</f>
        <v>0</v>
      </c>
      <c r="E17" s="17" t="str">
        <f aca="false">IF(C17="","",D17-C17)</f>
        <v/>
      </c>
      <c r="F17" s="8"/>
    </row>
    <row r="18" customFormat="false" ht="15" hidden="false" customHeight="false" outlineLevel="0" collapsed="false">
      <c r="A18" s="8" t="n">
        <v>14</v>
      </c>
      <c r="B18" s="10"/>
      <c r="C18" s="9"/>
      <c r="D18" s="14" t="n">
        <f aca="false">'Money Map'!$B$18</f>
        <v>0</v>
      </c>
      <c r="E18" s="17" t="str">
        <f aca="false">IF(C18="","",D18-C18)</f>
        <v/>
      </c>
      <c r="F18" s="8"/>
    </row>
    <row r="19" customFormat="false" ht="15" hidden="false" customHeight="false" outlineLevel="0" collapsed="false">
      <c r="A19" s="8" t="n">
        <v>15</v>
      </c>
      <c r="B19" s="10"/>
      <c r="C19" s="9"/>
      <c r="D19" s="14" t="n">
        <f aca="false">'Money Map'!$B$18</f>
        <v>0</v>
      </c>
      <c r="E19" s="17" t="str">
        <f aca="false">IF(C19="","",D19-C19)</f>
        <v/>
      </c>
      <c r="F19" s="8"/>
    </row>
    <row r="20" customFormat="false" ht="15" hidden="false" customHeight="false" outlineLevel="0" collapsed="false">
      <c r="A20" s="8" t="n">
        <v>16</v>
      </c>
      <c r="B20" s="10"/>
      <c r="C20" s="9"/>
      <c r="D20" s="14" t="n">
        <f aca="false">'Money Map'!$B$18</f>
        <v>0</v>
      </c>
      <c r="E20" s="17" t="str">
        <f aca="false">IF(C20="","",D20-C20)</f>
        <v/>
      </c>
      <c r="F20" s="8"/>
    </row>
    <row r="21" customFormat="false" ht="15" hidden="false" customHeight="false" outlineLevel="0" collapsed="false">
      <c r="A21" s="8" t="n">
        <v>17</v>
      </c>
      <c r="B21" s="10"/>
      <c r="C21" s="9"/>
      <c r="D21" s="14" t="n">
        <f aca="false">'Money Map'!$B$18</f>
        <v>0</v>
      </c>
      <c r="E21" s="17" t="str">
        <f aca="false">IF(C21="","",D21-C21)</f>
        <v/>
      </c>
      <c r="F21" s="8"/>
    </row>
    <row r="22" customFormat="false" ht="15" hidden="false" customHeight="false" outlineLevel="0" collapsed="false">
      <c r="A22" s="8" t="n">
        <v>18</v>
      </c>
      <c r="B22" s="10"/>
      <c r="C22" s="9"/>
      <c r="D22" s="14" t="n">
        <f aca="false">'Money Map'!$B$18</f>
        <v>0</v>
      </c>
      <c r="E22" s="17" t="str">
        <f aca="false">IF(C22="","",D22-C22)</f>
        <v/>
      </c>
      <c r="F22" s="8"/>
    </row>
    <row r="23" customFormat="false" ht="15" hidden="false" customHeight="false" outlineLevel="0" collapsed="false">
      <c r="A23" s="8" t="n">
        <v>19</v>
      </c>
      <c r="B23" s="10"/>
      <c r="C23" s="9"/>
      <c r="D23" s="14" t="n">
        <f aca="false">'Money Map'!$B$18</f>
        <v>0</v>
      </c>
      <c r="E23" s="17" t="str">
        <f aca="false">IF(C23="","",D23-C23)</f>
        <v/>
      </c>
      <c r="F23" s="8"/>
    </row>
    <row r="24" customFormat="false" ht="15" hidden="false" customHeight="false" outlineLevel="0" collapsed="false">
      <c r="A24" s="8" t="n">
        <v>20</v>
      </c>
      <c r="B24" s="10"/>
      <c r="C24" s="9"/>
      <c r="D24" s="14" t="n">
        <f aca="false">'Money Map'!$B$18</f>
        <v>0</v>
      </c>
      <c r="E24" s="17" t="str">
        <f aca="false">IF(C24="","",D24-C24)</f>
        <v/>
      </c>
      <c r="F24" s="8"/>
    </row>
    <row r="25" customFormat="false" ht="15" hidden="false" customHeight="false" outlineLevel="0" collapsed="false">
      <c r="A25" s="8" t="n">
        <v>21</v>
      </c>
      <c r="B25" s="10"/>
      <c r="C25" s="9"/>
      <c r="D25" s="14" t="n">
        <f aca="false">'Money Map'!$B$18</f>
        <v>0</v>
      </c>
      <c r="E25" s="17" t="str">
        <f aca="false">IF(C25="","",D25-C25)</f>
        <v/>
      </c>
      <c r="F25" s="8"/>
    </row>
    <row r="26" customFormat="false" ht="15" hidden="false" customHeight="false" outlineLevel="0" collapsed="false">
      <c r="A26" s="8" t="n">
        <v>22</v>
      </c>
      <c r="B26" s="10"/>
      <c r="C26" s="9"/>
      <c r="D26" s="14" t="n">
        <f aca="false">'Money Map'!$B$18</f>
        <v>0</v>
      </c>
      <c r="E26" s="17" t="str">
        <f aca="false">IF(C26="","",D26-C26)</f>
        <v/>
      </c>
      <c r="F26" s="8"/>
    </row>
    <row r="27" customFormat="false" ht="15" hidden="false" customHeight="false" outlineLevel="0" collapsed="false">
      <c r="A27" s="8" t="n">
        <v>23</v>
      </c>
      <c r="B27" s="10"/>
      <c r="C27" s="9"/>
      <c r="D27" s="14" t="n">
        <f aca="false">'Money Map'!$B$18</f>
        <v>0</v>
      </c>
      <c r="E27" s="17" t="str">
        <f aca="false">IF(C27="","",D27-C27)</f>
        <v/>
      </c>
      <c r="F27" s="8"/>
    </row>
    <row r="28" customFormat="false" ht="15" hidden="false" customHeight="false" outlineLevel="0" collapsed="false">
      <c r="A28" s="8" t="n">
        <v>24</v>
      </c>
      <c r="B28" s="10"/>
      <c r="C28" s="9"/>
      <c r="D28" s="14" t="n">
        <f aca="false">'Money Map'!$B$18</f>
        <v>0</v>
      </c>
      <c r="E28" s="17" t="str">
        <f aca="false">IF(C28="","",D28-C28)</f>
        <v/>
      </c>
      <c r="F28" s="8"/>
    </row>
    <row r="29" customFormat="false" ht="15" hidden="false" customHeight="false" outlineLevel="0" collapsed="false">
      <c r="A29" s="8" t="n">
        <v>25</v>
      </c>
      <c r="B29" s="10"/>
      <c r="C29" s="9"/>
      <c r="D29" s="14" t="n">
        <f aca="false">'Money Map'!$B$18</f>
        <v>0</v>
      </c>
      <c r="E29" s="17" t="str">
        <f aca="false">IF(C29="","",D29-C29)</f>
        <v/>
      </c>
      <c r="F29" s="8"/>
    </row>
    <row r="30" customFormat="false" ht="15" hidden="false" customHeight="false" outlineLevel="0" collapsed="false">
      <c r="A30" s="8" t="n">
        <v>26</v>
      </c>
      <c r="B30" s="10"/>
      <c r="C30" s="9"/>
      <c r="D30" s="14" t="n">
        <f aca="false">'Money Map'!$B$18</f>
        <v>0</v>
      </c>
      <c r="E30" s="17" t="str">
        <f aca="false">IF(C30="","",D30-C30)</f>
        <v/>
      </c>
      <c r="F30" s="8"/>
    </row>
    <row r="31" customFormat="false" ht="15" hidden="false" customHeight="false" outlineLevel="0" collapsed="false">
      <c r="A31" s="8" t="n">
        <v>27</v>
      </c>
      <c r="B31" s="10"/>
      <c r="C31" s="9"/>
      <c r="D31" s="14" t="n">
        <f aca="false">'Money Map'!$B$18</f>
        <v>0</v>
      </c>
      <c r="E31" s="17" t="str">
        <f aca="false">IF(C31="","",D31-C31)</f>
        <v/>
      </c>
      <c r="F31" s="8"/>
    </row>
    <row r="32" customFormat="false" ht="15" hidden="false" customHeight="false" outlineLevel="0" collapsed="false">
      <c r="A32" s="8" t="n">
        <v>28</v>
      </c>
      <c r="B32" s="10"/>
      <c r="C32" s="9"/>
      <c r="D32" s="14" t="n">
        <f aca="false">'Money Map'!$B$18</f>
        <v>0</v>
      </c>
      <c r="E32" s="17" t="str">
        <f aca="false">IF(C32="","",D32-C32)</f>
        <v/>
      </c>
      <c r="F32" s="8"/>
    </row>
    <row r="33" customFormat="false" ht="15" hidden="false" customHeight="false" outlineLevel="0" collapsed="false">
      <c r="A33" s="8" t="n">
        <v>29</v>
      </c>
      <c r="B33" s="10"/>
      <c r="C33" s="9"/>
      <c r="D33" s="14" t="n">
        <f aca="false">'Money Map'!$B$18</f>
        <v>0</v>
      </c>
      <c r="E33" s="17" t="str">
        <f aca="false">IF(C33="","",D33-C33)</f>
        <v/>
      </c>
      <c r="F33" s="8"/>
    </row>
    <row r="34" customFormat="false" ht="15" hidden="false" customHeight="false" outlineLevel="0" collapsed="false">
      <c r="A34" s="8" t="n">
        <v>30</v>
      </c>
      <c r="B34" s="10"/>
      <c r="C34" s="9"/>
      <c r="D34" s="14" t="n">
        <f aca="false">'Money Map'!$B$18</f>
        <v>0</v>
      </c>
      <c r="E34" s="17" t="str">
        <f aca="false">IF(C34="","",D34-C34)</f>
        <v/>
      </c>
      <c r="F34" s="8"/>
    </row>
    <row r="35" customFormat="false" ht="15" hidden="false" customHeight="false" outlineLevel="0" collapsed="false">
      <c r="A35" s="8" t="n">
        <v>31</v>
      </c>
      <c r="B35" s="10"/>
      <c r="C35" s="9"/>
      <c r="D35" s="14" t="n">
        <f aca="false">'Money Map'!$B$18</f>
        <v>0</v>
      </c>
      <c r="E35" s="17" t="str">
        <f aca="false">IF(C35="","",D35-C35)</f>
        <v/>
      </c>
      <c r="F35" s="8"/>
    </row>
    <row r="36" customFormat="false" ht="15" hidden="false" customHeight="false" outlineLevel="0" collapsed="false">
      <c r="A36" s="8" t="n">
        <v>32</v>
      </c>
      <c r="B36" s="10"/>
      <c r="C36" s="9"/>
      <c r="D36" s="14" t="n">
        <f aca="false">'Money Map'!$B$18</f>
        <v>0</v>
      </c>
      <c r="E36" s="17" t="str">
        <f aca="false">IF(C36="","",D36-C36)</f>
        <v/>
      </c>
      <c r="F36" s="8"/>
    </row>
    <row r="37" customFormat="false" ht="15" hidden="false" customHeight="false" outlineLevel="0" collapsed="false">
      <c r="A37" s="8" t="n">
        <v>33</v>
      </c>
      <c r="B37" s="10"/>
      <c r="C37" s="9"/>
      <c r="D37" s="14" t="n">
        <f aca="false">'Money Map'!$B$18</f>
        <v>0</v>
      </c>
      <c r="E37" s="17" t="str">
        <f aca="false">IF(C37="","",D37-C37)</f>
        <v/>
      </c>
      <c r="F37" s="8"/>
    </row>
    <row r="38" customFormat="false" ht="15" hidden="false" customHeight="false" outlineLevel="0" collapsed="false">
      <c r="A38" s="8" t="n">
        <v>34</v>
      </c>
      <c r="B38" s="10"/>
      <c r="C38" s="9"/>
      <c r="D38" s="14" t="n">
        <f aca="false">'Money Map'!$B$18</f>
        <v>0</v>
      </c>
      <c r="E38" s="17" t="str">
        <f aca="false">IF(C38="","",D38-C38)</f>
        <v/>
      </c>
      <c r="F38" s="8"/>
    </row>
    <row r="39" customFormat="false" ht="15" hidden="false" customHeight="false" outlineLevel="0" collapsed="false">
      <c r="A39" s="8" t="n">
        <v>35</v>
      </c>
      <c r="B39" s="10"/>
      <c r="C39" s="9"/>
      <c r="D39" s="14" t="n">
        <f aca="false">'Money Map'!$B$18</f>
        <v>0</v>
      </c>
      <c r="E39" s="17" t="str">
        <f aca="false">IF(C39="","",D39-C39)</f>
        <v/>
      </c>
      <c r="F39" s="8"/>
    </row>
    <row r="40" customFormat="false" ht="15" hidden="false" customHeight="false" outlineLevel="0" collapsed="false">
      <c r="A40" s="8" t="n">
        <v>36</v>
      </c>
      <c r="B40" s="10"/>
      <c r="C40" s="9"/>
      <c r="D40" s="14" t="n">
        <f aca="false">'Money Map'!$B$18</f>
        <v>0</v>
      </c>
      <c r="E40" s="17" t="str">
        <f aca="false">IF(C40="","",D40-C40)</f>
        <v/>
      </c>
      <c r="F40" s="8"/>
    </row>
    <row r="41" customFormat="false" ht="15" hidden="false" customHeight="false" outlineLevel="0" collapsed="false">
      <c r="A41" s="8" t="n">
        <v>37</v>
      </c>
      <c r="B41" s="10"/>
      <c r="C41" s="9"/>
      <c r="D41" s="14" t="n">
        <f aca="false">'Money Map'!$B$18</f>
        <v>0</v>
      </c>
      <c r="E41" s="17" t="str">
        <f aca="false">IF(C41="","",D41-C41)</f>
        <v/>
      </c>
      <c r="F41" s="8"/>
    </row>
    <row r="42" customFormat="false" ht="15" hidden="false" customHeight="false" outlineLevel="0" collapsed="false">
      <c r="A42" s="8" t="n">
        <v>38</v>
      </c>
      <c r="B42" s="10"/>
      <c r="C42" s="9"/>
      <c r="D42" s="14" t="n">
        <f aca="false">'Money Map'!$B$18</f>
        <v>0</v>
      </c>
      <c r="E42" s="17" t="str">
        <f aca="false">IF(C42="","",D42-C42)</f>
        <v/>
      </c>
      <c r="F42" s="8"/>
    </row>
    <row r="43" customFormat="false" ht="15" hidden="false" customHeight="false" outlineLevel="0" collapsed="false">
      <c r="A43" s="8" t="n">
        <v>39</v>
      </c>
      <c r="B43" s="10"/>
      <c r="C43" s="9"/>
      <c r="D43" s="14" t="n">
        <f aca="false">'Money Map'!$B$18</f>
        <v>0</v>
      </c>
      <c r="E43" s="17" t="str">
        <f aca="false">IF(C43="","",D43-C43)</f>
        <v/>
      </c>
      <c r="F43" s="8"/>
    </row>
    <row r="44" customFormat="false" ht="15" hidden="false" customHeight="false" outlineLevel="0" collapsed="false">
      <c r="A44" s="8" t="n">
        <v>40</v>
      </c>
      <c r="B44" s="10"/>
      <c r="C44" s="9"/>
      <c r="D44" s="14" t="n">
        <f aca="false">'Money Map'!$B$18</f>
        <v>0</v>
      </c>
      <c r="E44" s="17" t="str">
        <f aca="false">IF(C44="","",D44-C44)</f>
        <v/>
      </c>
      <c r="F44" s="8"/>
    </row>
    <row r="45" customFormat="false" ht="15" hidden="false" customHeight="false" outlineLevel="0" collapsed="false">
      <c r="A45" s="8" t="n">
        <v>41</v>
      </c>
      <c r="B45" s="10"/>
      <c r="C45" s="9"/>
      <c r="D45" s="14" t="n">
        <f aca="false">'Money Map'!$B$18</f>
        <v>0</v>
      </c>
      <c r="E45" s="17" t="str">
        <f aca="false">IF(C45="","",D45-C45)</f>
        <v/>
      </c>
      <c r="F45" s="8"/>
    </row>
    <row r="46" customFormat="false" ht="15" hidden="false" customHeight="false" outlineLevel="0" collapsed="false">
      <c r="A46" s="8" t="n">
        <v>42</v>
      </c>
      <c r="B46" s="10"/>
      <c r="C46" s="9"/>
      <c r="D46" s="14" t="n">
        <f aca="false">'Money Map'!$B$18</f>
        <v>0</v>
      </c>
      <c r="E46" s="17" t="str">
        <f aca="false">IF(C46="","",D46-C46)</f>
        <v/>
      </c>
      <c r="F46" s="8"/>
    </row>
    <row r="47" customFormat="false" ht="15" hidden="false" customHeight="false" outlineLevel="0" collapsed="false">
      <c r="A47" s="8" t="n">
        <v>43</v>
      </c>
      <c r="B47" s="10"/>
      <c r="C47" s="9"/>
      <c r="D47" s="14" t="n">
        <f aca="false">'Money Map'!$B$18</f>
        <v>0</v>
      </c>
      <c r="E47" s="17" t="str">
        <f aca="false">IF(C47="","",D47-C47)</f>
        <v/>
      </c>
      <c r="F47" s="8"/>
    </row>
    <row r="48" customFormat="false" ht="15" hidden="false" customHeight="false" outlineLevel="0" collapsed="false">
      <c r="A48" s="8" t="n">
        <v>44</v>
      </c>
      <c r="B48" s="10"/>
      <c r="C48" s="9"/>
      <c r="D48" s="14" t="n">
        <f aca="false">'Money Map'!$B$18</f>
        <v>0</v>
      </c>
      <c r="E48" s="17" t="str">
        <f aca="false">IF(C48="","",D48-C48)</f>
        <v/>
      </c>
      <c r="F48" s="8"/>
    </row>
    <row r="49" customFormat="false" ht="15" hidden="false" customHeight="false" outlineLevel="0" collapsed="false">
      <c r="A49" s="8" t="n">
        <v>45</v>
      </c>
      <c r="B49" s="10"/>
      <c r="C49" s="9"/>
      <c r="D49" s="14" t="n">
        <f aca="false">'Money Map'!$B$18</f>
        <v>0</v>
      </c>
      <c r="E49" s="17" t="str">
        <f aca="false">IF(C49="","",D49-C49)</f>
        <v/>
      </c>
      <c r="F49" s="8"/>
    </row>
    <row r="50" customFormat="false" ht="15" hidden="false" customHeight="false" outlineLevel="0" collapsed="false">
      <c r="A50" s="8" t="n">
        <v>46</v>
      </c>
      <c r="B50" s="10"/>
      <c r="C50" s="9"/>
      <c r="D50" s="14" t="n">
        <f aca="false">'Money Map'!$B$18</f>
        <v>0</v>
      </c>
      <c r="E50" s="17" t="str">
        <f aca="false">IF(C50="","",D50-C50)</f>
        <v/>
      </c>
      <c r="F50" s="8"/>
    </row>
    <row r="51" customFormat="false" ht="15" hidden="false" customHeight="false" outlineLevel="0" collapsed="false">
      <c r="A51" s="8" t="n">
        <v>47</v>
      </c>
      <c r="B51" s="10"/>
      <c r="C51" s="9"/>
      <c r="D51" s="14" t="n">
        <f aca="false">'Money Map'!$B$18</f>
        <v>0</v>
      </c>
      <c r="E51" s="17" t="str">
        <f aca="false">IF(C51="","",D51-C51)</f>
        <v/>
      </c>
      <c r="F51" s="8"/>
    </row>
    <row r="52" customFormat="false" ht="15" hidden="false" customHeight="false" outlineLevel="0" collapsed="false">
      <c r="A52" s="8" t="n">
        <v>48</v>
      </c>
      <c r="B52" s="10"/>
      <c r="C52" s="9"/>
      <c r="D52" s="14" t="n">
        <f aca="false">'Money Map'!$B$18</f>
        <v>0</v>
      </c>
      <c r="E52" s="17" t="str">
        <f aca="false">IF(C52="","",D52-C52)</f>
        <v/>
      </c>
      <c r="F52" s="8"/>
    </row>
    <row r="53" customFormat="false" ht="15" hidden="false" customHeight="false" outlineLevel="0" collapsed="false">
      <c r="A53" s="8" t="n">
        <v>49</v>
      </c>
      <c r="B53" s="10"/>
      <c r="C53" s="9"/>
      <c r="D53" s="14" t="n">
        <f aca="false">'Money Map'!$B$18</f>
        <v>0</v>
      </c>
      <c r="E53" s="17" t="str">
        <f aca="false">IF(C53="","",D53-C53)</f>
        <v/>
      </c>
      <c r="F53" s="8"/>
    </row>
    <row r="54" customFormat="false" ht="15" hidden="false" customHeight="false" outlineLevel="0" collapsed="false">
      <c r="A54" s="8" t="n">
        <v>50</v>
      </c>
      <c r="B54" s="10"/>
      <c r="C54" s="9"/>
      <c r="D54" s="14" t="n">
        <f aca="false">'Money Map'!$B$18</f>
        <v>0</v>
      </c>
      <c r="E54" s="17" t="str">
        <f aca="false">IF(C54="","",D54-C54)</f>
        <v/>
      </c>
      <c r="F54" s="8"/>
    </row>
    <row r="55" customFormat="false" ht="15" hidden="false" customHeight="false" outlineLevel="0" collapsed="false">
      <c r="A55" s="8" t="n">
        <v>51</v>
      </c>
      <c r="B55" s="10"/>
      <c r="C55" s="9"/>
      <c r="D55" s="14" t="n">
        <f aca="false">'Money Map'!$B$18</f>
        <v>0</v>
      </c>
      <c r="E55" s="17" t="str">
        <f aca="false">IF(C55="","",D55-C55)</f>
        <v/>
      </c>
      <c r="F55" s="8"/>
    </row>
    <row r="56" customFormat="false" ht="15" hidden="false" customHeight="false" outlineLevel="0" collapsed="false">
      <c r="A56" s="8" t="n">
        <v>52</v>
      </c>
      <c r="B56" s="10"/>
      <c r="C56" s="9"/>
      <c r="D56" s="14" t="n">
        <f aca="false">'Money Map'!$B$18</f>
        <v>0</v>
      </c>
      <c r="E56" s="17" t="str">
        <f aca="false">IF(C56="","",D56-C56)</f>
        <v/>
      </c>
      <c r="F56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36"/>
  </cols>
  <sheetData>
    <row r="1" customFormat="false" ht="19.7" hidden="false" customHeight="false" outlineLevel="0" collapsed="false">
      <c r="A1" s="5" t="s">
        <v>52</v>
      </c>
    </row>
    <row r="2" customFormat="false" ht="15" hidden="false" customHeight="false" outlineLevel="0" collapsed="false">
      <c r="A2" s="6" t="s">
        <v>53</v>
      </c>
    </row>
    <row r="4" customFormat="false" ht="15" hidden="false" customHeight="false" outlineLevel="0" collapsed="false">
      <c r="A4" s="7" t="s">
        <v>54</v>
      </c>
      <c r="B4" s="7" t="s">
        <v>55</v>
      </c>
      <c r="C4" s="7" t="s">
        <v>56</v>
      </c>
      <c r="D4" s="7" t="s">
        <v>57</v>
      </c>
      <c r="E4" s="7" t="s">
        <v>58</v>
      </c>
    </row>
    <row r="5" customFormat="false" ht="15" hidden="false" customHeight="false" outlineLevel="0" collapsed="false">
      <c r="A5" s="8"/>
      <c r="B5" s="8"/>
      <c r="C5" s="8"/>
      <c r="D5" s="9"/>
      <c r="E5" s="8"/>
    </row>
    <row r="6" customFormat="false" ht="15" hidden="false" customHeight="false" outlineLevel="0" collapsed="false">
      <c r="A6" s="8"/>
      <c r="B6" s="8"/>
      <c r="C6" s="8"/>
      <c r="D6" s="9"/>
      <c r="E6" s="8"/>
    </row>
    <row r="7" customFormat="false" ht="15" hidden="false" customHeight="false" outlineLevel="0" collapsed="false">
      <c r="A7" s="8"/>
      <c r="B7" s="8"/>
      <c r="C7" s="8"/>
      <c r="D7" s="9"/>
      <c r="E7" s="8"/>
    </row>
    <row r="8" customFormat="false" ht="15" hidden="false" customHeight="false" outlineLevel="0" collapsed="false">
      <c r="A8" s="8"/>
      <c r="B8" s="8"/>
      <c r="C8" s="8"/>
      <c r="D8" s="9"/>
      <c r="E8" s="8"/>
    </row>
    <row r="9" customFormat="false" ht="15" hidden="false" customHeight="false" outlineLevel="0" collapsed="false">
      <c r="A9" s="8"/>
      <c r="B9" s="8"/>
      <c r="C9" s="8"/>
      <c r="D9" s="9"/>
      <c r="E9" s="8"/>
    </row>
    <row r="10" customFormat="false" ht="15" hidden="false" customHeight="false" outlineLevel="0" collapsed="false">
      <c r="A10" s="8"/>
      <c r="B10" s="8"/>
      <c r="C10" s="8"/>
      <c r="D10" s="9"/>
      <c r="E10" s="8"/>
    </row>
    <row r="11" customFormat="false" ht="15" hidden="false" customHeight="false" outlineLevel="0" collapsed="false">
      <c r="A11" s="8"/>
      <c r="B11" s="8"/>
      <c r="C11" s="8"/>
      <c r="D11" s="9"/>
      <c r="E11" s="8"/>
    </row>
    <row r="12" customFormat="false" ht="15" hidden="false" customHeight="false" outlineLevel="0" collapsed="false">
      <c r="A12" s="8"/>
      <c r="B12" s="8"/>
      <c r="C12" s="8"/>
      <c r="D12" s="9"/>
      <c r="E12" s="8"/>
    </row>
    <row r="13" customFormat="false" ht="15" hidden="false" customHeight="false" outlineLevel="0" collapsed="false">
      <c r="A13" s="8"/>
      <c r="B13" s="8"/>
      <c r="C13" s="8"/>
      <c r="D13" s="9"/>
      <c r="E13" s="8"/>
    </row>
    <row r="14" customFormat="false" ht="15" hidden="false" customHeight="false" outlineLevel="0" collapsed="false">
      <c r="A14" s="8"/>
      <c r="B14" s="8"/>
      <c r="C14" s="8"/>
      <c r="D14" s="9"/>
      <c r="E14" s="8"/>
    </row>
    <row r="15" customFormat="false" ht="15" hidden="false" customHeight="false" outlineLevel="0" collapsed="false">
      <c r="A15" s="8"/>
      <c r="B15" s="8"/>
      <c r="C15" s="8"/>
      <c r="D15" s="9"/>
      <c r="E15" s="8"/>
    </row>
    <row r="16" customFormat="false" ht="15" hidden="false" customHeight="false" outlineLevel="0" collapsed="false">
      <c r="A16" s="8"/>
      <c r="B16" s="8"/>
      <c r="C16" s="8"/>
      <c r="D16" s="9"/>
      <c r="E16" s="8"/>
    </row>
    <row r="17" customFormat="false" ht="15" hidden="false" customHeight="false" outlineLevel="0" collapsed="false">
      <c r="A17" s="8"/>
      <c r="B17" s="8"/>
      <c r="C17" s="8"/>
      <c r="D17" s="9"/>
      <c r="E17" s="8"/>
    </row>
    <row r="18" customFormat="false" ht="15" hidden="false" customHeight="false" outlineLevel="0" collapsed="false">
      <c r="A18" s="8"/>
      <c r="B18" s="8"/>
      <c r="C18" s="8"/>
      <c r="D18" s="9"/>
      <c r="E18" s="8"/>
    </row>
    <row r="19" customFormat="false" ht="15" hidden="false" customHeight="false" outlineLevel="0" collapsed="false">
      <c r="A19" s="8"/>
      <c r="B19" s="8"/>
      <c r="C19" s="8"/>
      <c r="D19" s="9"/>
      <c r="E19" s="8"/>
    </row>
    <row r="20" customFormat="false" ht="15" hidden="false" customHeight="false" outlineLevel="0" collapsed="false">
      <c r="A20" s="8"/>
      <c r="B20" s="8"/>
      <c r="C20" s="8"/>
      <c r="D20" s="9"/>
      <c r="E20" s="8"/>
    </row>
    <row r="21" customFormat="false" ht="15" hidden="false" customHeight="false" outlineLevel="0" collapsed="false">
      <c r="A21" s="8"/>
      <c r="B21" s="8"/>
      <c r="C21" s="8"/>
      <c r="D21" s="9"/>
      <c r="E21" s="8"/>
    </row>
    <row r="22" customFormat="false" ht="15" hidden="false" customHeight="false" outlineLevel="0" collapsed="false">
      <c r="A22" s="8"/>
      <c r="B22" s="8"/>
      <c r="C22" s="8"/>
      <c r="D22" s="9"/>
      <c r="E22" s="8"/>
    </row>
    <row r="23" customFormat="false" ht="15" hidden="false" customHeight="false" outlineLevel="0" collapsed="false">
      <c r="A23" s="8"/>
      <c r="B23" s="8"/>
      <c r="C23" s="8"/>
      <c r="D23" s="9"/>
      <c r="E23" s="8"/>
    </row>
    <row r="24" customFormat="false" ht="15" hidden="false" customHeight="false" outlineLevel="0" collapsed="false">
      <c r="A24" s="8"/>
      <c r="B24" s="8"/>
      <c r="C24" s="8"/>
      <c r="D24" s="9"/>
      <c r="E24" s="8"/>
    </row>
    <row r="25" customFormat="false" ht="15" hidden="false" customHeight="false" outlineLevel="0" collapsed="false">
      <c r="A25" s="8"/>
      <c r="B25" s="8"/>
      <c r="C25" s="8"/>
      <c r="D25" s="9"/>
      <c r="E25" s="8"/>
    </row>
    <row r="26" customFormat="false" ht="15" hidden="false" customHeight="false" outlineLevel="0" collapsed="false">
      <c r="A26" s="8"/>
      <c r="B26" s="8"/>
      <c r="C26" s="8"/>
      <c r="D26" s="9"/>
      <c r="E26" s="8"/>
    </row>
    <row r="27" customFormat="false" ht="15" hidden="false" customHeight="false" outlineLevel="0" collapsed="false">
      <c r="A27" s="8"/>
      <c r="B27" s="8"/>
      <c r="C27" s="8"/>
      <c r="D27" s="9"/>
      <c r="E27" s="8"/>
    </row>
    <row r="28" customFormat="false" ht="15" hidden="false" customHeight="false" outlineLevel="0" collapsed="false">
      <c r="A28" s="8"/>
      <c r="B28" s="8"/>
      <c r="C28" s="8"/>
      <c r="D28" s="9"/>
      <c r="E28" s="8"/>
    </row>
    <row r="29" customFormat="false" ht="15" hidden="false" customHeight="false" outlineLevel="0" collapsed="false">
      <c r="A29" s="8"/>
      <c r="B29" s="8"/>
      <c r="C29" s="8"/>
      <c r="D29" s="9"/>
      <c r="E29" s="8"/>
    </row>
    <row r="30" customFormat="false" ht="15" hidden="false" customHeight="false" outlineLevel="0" collapsed="false">
      <c r="A30" s="8"/>
      <c r="B30" s="8"/>
      <c r="C30" s="8"/>
      <c r="D30" s="9"/>
      <c r="E30" s="8"/>
    </row>
    <row r="31" customFormat="false" ht="15" hidden="false" customHeight="false" outlineLevel="0" collapsed="false">
      <c r="A31" s="8"/>
      <c r="B31" s="8"/>
      <c r="C31" s="8"/>
      <c r="D31" s="9"/>
      <c r="E31" s="8"/>
    </row>
    <row r="32" customFormat="false" ht="15" hidden="false" customHeight="false" outlineLevel="0" collapsed="false">
      <c r="A32" s="8"/>
      <c r="B32" s="8"/>
      <c r="C32" s="8"/>
      <c r="D32" s="9"/>
      <c r="E32" s="8"/>
    </row>
    <row r="33" customFormat="false" ht="15" hidden="false" customHeight="false" outlineLevel="0" collapsed="false">
      <c r="A33" s="8"/>
      <c r="B33" s="8"/>
      <c r="C33" s="8"/>
      <c r="D33" s="9"/>
      <c r="E33" s="8"/>
    </row>
    <row r="34" customFormat="false" ht="15" hidden="false" customHeight="false" outlineLevel="0" collapsed="false">
      <c r="A34" s="8"/>
      <c r="B34" s="8"/>
      <c r="C34" s="8"/>
      <c r="D34" s="9"/>
      <c r="E34" s="8"/>
    </row>
    <row r="35" customFormat="false" ht="15" hidden="false" customHeight="false" outlineLevel="0" collapsed="false">
      <c r="A35" s="8"/>
      <c r="B35" s="8"/>
      <c r="C35" s="8"/>
      <c r="D35" s="9"/>
      <c r="E35" s="8"/>
    </row>
    <row r="36" customFormat="false" ht="15" hidden="false" customHeight="false" outlineLevel="0" collapsed="false">
      <c r="A36" s="8"/>
      <c r="B36" s="8"/>
      <c r="C36" s="8"/>
      <c r="D36" s="9"/>
      <c r="E36" s="8"/>
    </row>
    <row r="37" customFormat="false" ht="15" hidden="false" customHeight="false" outlineLevel="0" collapsed="false">
      <c r="A37" s="8"/>
      <c r="B37" s="8"/>
      <c r="C37" s="8"/>
      <c r="D37" s="9"/>
      <c r="E37" s="8"/>
    </row>
    <row r="38" customFormat="false" ht="15" hidden="false" customHeight="false" outlineLevel="0" collapsed="false">
      <c r="A38" s="8"/>
      <c r="B38" s="8"/>
      <c r="C38" s="8"/>
      <c r="D38" s="9"/>
      <c r="E38" s="8"/>
    </row>
    <row r="39" customFormat="false" ht="15" hidden="false" customHeight="false" outlineLevel="0" collapsed="false">
      <c r="A39" s="8"/>
      <c r="B39" s="8"/>
      <c r="C39" s="8"/>
      <c r="D39" s="9"/>
      <c r="E39" s="8"/>
    </row>
    <row r="40" customFormat="false" ht="15" hidden="false" customHeight="false" outlineLevel="0" collapsed="false">
      <c r="A40" s="8"/>
      <c r="B40" s="8"/>
      <c r="C40" s="8"/>
      <c r="D40" s="9"/>
      <c r="E40" s="8"/>
    </row>
    <row r="41" customFormat="false" ht="15" hidden="false" customHeight="false" outlineLevel="0" collapsed="false">
      <c r="A41" s="8"/>
      <c r="B41" s="8"/>
      <c r="C41" s="8"/>
      <c r="D41" s="9"/>
      <c r="E41" s="8"/>
    </row>
    <row r="42" customFormat="false" ht="15" hidden="false" customHeight="false" outlineLevel="0" collapsed="false">
      <c r="A42" s="8"/>
      <c r="B42" s="8"/>
      <c r="C42" s="8"/>
      <c r="D42" s="9"/>
      <c r="E42" s="8"/>
    </row>
    <row r="43" customFormat="false" ht="15" hidden="false" customHeight="false" outlineLevel="0" collapsed="false">
      <c r="A43" s="8"/>
      <c r="B43" s="8"/>
      <c r="C43" s="8"/>
      <c r="D43" s="9"/>
      <c r="E43" s="8"/>
    </row>
    <row r="44" customFormat="false" ht="15" hidden="false" customHeight="false" outlineLevel="0" collapsed="false">
      <c r="A44" s="8"/>
      <c r="B44" s="8"/>
      <c r="C44" s="8"/>
      <c r="D44" s="9"/>
      <c r="E44" s="8"/>
    </row>
    <row r="45" customFormat="false" ht="15" hidden="false" customHeight="false" outlineLevel="0" collapsed="false">
      <c r="A45" s="8"/>
      <c r="B45" s="8"/>
      <c r="C45" s="8"/>
      <c r="D45" s="9"/>
      <c r="E45" s="8"/>
    </row>
    <row r="46" customFormat="false" ht="15" hidden="false" customHeight="false" outlineLevel="0" collapsed="false">
      <c r="A46" s="8"/>
      <c r="B46" s="8"/>
      <c r="C46" s="8"/>
      <c r="D46" s="9"/>
      <c r="E46" s="8"/>
    </row>
    <row r="47" customFormat="false" ht="15" hidden="false" customHeight="false" outlineLevel="0" collapsed="false">
      <c r="A47" s="8"/>
      <c r="B47" s="8"/>
      <c r="C47" s="8"/>
      <c r="D47" s="9"/>
      <c r="E47" s="8"/>
    </row>
    <row r="48" customFormat="false" ht="15" hidden="false" customHeight="false" outlineLevel="0" collapsed="false">
      <c r="A48" s="8"/>
      <c r="B48" s="8"/>
      <c r="C48" s="8"/>
      <c r="D48" s="9"/>
      <c r="E48" s="8"/>
    </row>
    <row r="49" customFormat="false" ht="15" hidden="false" customHeight="false" outlineLevel="0" collapsed="false">
      <c r="A49" s="8"/>
      <c r="B49" s="8"/>
      <c r="C49" s="8"/>
      <c r="D49" s="9"/>
      <c r="E49" s="8"/>
    </row>
    <row r="50" customFormat="false" ht="15" hidden="false" customHeight="false" outlineLevel="0" collapsed="false">
      <c r="A50" s="8"/>
      <c r="B50" s="8"/>
      <c r="C50" s="8"/>
      <c r="D50" s="9"/>
      <c r="E50" s="8"/>
    </row>
    <row r="51" customFormat="false" ht="15" hidden="false" customHeight="false" outlineLevel="0" collapsed="false">
      <c r="A51" s="8"/>
      <c r="B51" s="8"/>
      <c r="C51" s="8"/>
      <c r="D51" s="9"/>
      <c r="E51" s="8"/>
    </row>
    <row r="52" customFormat="false" ht="15" hidden="false" customHeight="false" outlineLevel="0" collapsed="false">
      <c r="A52" s="8"/>
      <c r="B52" s="8"/>
      <c r="C52" s="8"/>
      <c r="D52" s="9"/>
      <c r="E52" s="8"/>
    </row>
    <row r="53" customFormat="false" ht="15" hidden="false" customHeight="false" outlineLevel="0" collapsed="false">
      <c r="A53" s="8"/>
      <c r="B53" s="8"/>
      <c r="C53" s="8"/>
      <c r="D53" s="9"/>
      <c r="E53" s="8"/>
    </row>
    <row r="54" customFormat="false" ht="15" hidden="false" customHeight="false" outlineLevel="0" collapsed="false">
      <c r="A54" s="8"/>
      <c r="B54" s="8"/>
      <c r="C54" s="8"/>
      <c r="D54" s="9"/>
      <c r="E54" s="8"/>
    </row>
    <row r="55" customFormat="false" ht="15" hidden="false" customHeight="false" outlineLevel="0" collapsed="false">
      <c r="A55" s="8"/>
      <c r="B55" s="8"/>
      <c r="C55" s="8"/>
      <c r="D55" s="9"/>
      <c r="E55" s="8"/>
    </row>
    <row r="56" customFormat="false" ht="15" hidden="false" customHeight="false" outlineLevel="0" collapsed="false">
      <c r="A56" s="8"/>
      <c r="B56" s="8"/>
      <c r="C56" s="8"/>
      <c r="D56" s="9"/>
      <c r="E56" s="8"/>
    </row>
    <row r="57" customFormat="false" ht="15" hidden="false" customHeight="false" outlineLevel="0" collapsed="false">
      <c r="A57" s="8"/>
      <c r="B57" s="8"/>
      <c r="C57" s="8"/>
      <c r="D57" s="9"/>
      <c r="E57" s="8"/>
    </row>
    <row r="58" customFormat="false" ht="15" hidden="false" customHeight="false" outlineLevel="0" collapsed="false">
      <c r="A58" s="8"/>
      <c r="B58" s="8"/>
      <c r="C58" s="8"/>
      <c r="D58" s="9"/>
      <c r="E58" s="8"/>
    </row>
    <row r="59" customFormat="false" ht="15" hidden="false" customHeight="false" outlineLevel="0" collapsed="false">
      <c r="A59" s="8"/>
      <c r="B59" s="8"/>
      <c r="C59" s="8"/>
      <c r="D59" s="9"/>
      <c r="E59" s="8"/>
    </row>
    <row r="60" customFormat="false" ht="15" hidden="false" customHeight="false" outlineLevel="0" collapsed="false">
      <c r="A60" s="8"/>
      <c r="B60" s="8"/>
      <c r="C60" s="8"/>
      <c r="D60" s="9"/>
      <c r="E60" s="8"/>
    </row>
    <row r="61" customFormat="false" ht="15" hidden="false" customHeight="false" outlineLevel="0" collapsed="false">
      <c r="A61" s="8"/>
      <c r="B61" s="8"/>
      <c r="C61" s="8"/>
      <c r="D61" s="9"/>
      <c r="E61" s="8"/>
    </row>
    <row r="62" customFormat="false" ht="15" hidden="false" customHeight="false" outlineLevel="0" collapsed="false">
      <c r="A62" s="8"/>
      <c r="B62" s="8"/>
      <c r="C62" s="8"/>
      <c r="D62" s="9"/>
      <c r="E62" s="8"/>
    </row>
    <row r="63" customFormat="false" ht="15" hidden="false" customHeight="false" outlineLevel="0" collapsed="false">
      <c r="A63" s="8"/>
      <c r="B63" s="8"/>
      <c r="C63" s="8"/>
      <c r="D63" s="9"/>
      <c r="E63" s="8"/>
    </row>
    <row r="64" customFormat="false" ht="15" hidden="false" customHeight="false" outlineLevel="0" collapsed="false">
      <c r="A64" s="8"/>
      <c r="B64" s="8"/>
      <c r="C64" s="8"/>
      <c r="D64" s="9"/>
      <c r="E64" s="8"/>
    </row>
    <row r="66" customFormat="false" ht="15" hidden="false" customHeight="false" outlineLevel="0" collapsed="false">
      <c r="A66" s="11" t="s">
        <v>59</v>
      </c>
      <c r="D66" s="12" t="n">
        <f aca="false">SUM(D5:D64)</f>
        <v>0</v>
      </c>
    </row>
    <row r="68" customFormat="false" ht="15" hidden="false" customHeight="false" outlineLevel="0" collapsed="false">
      <c r="C68" s="8" t="s">
        <v>60</v>
      </c>
      <c r="D68" s="17" t="n">
        <f aca="false">SUMIF(C5:C64,"Late fee",D5:D64)</f>
        <v>0</v>
      </c>
    </row>
    <row r="69" customFormat="false" ht="15" hidden="false" customHeight="false" outlineLevel="0" collapsed="false">
      <c r="C69" s="8" t="s">
        <v>61</v>
      </c>
      <c r="D69" s="17" t="n">
        <f aca="false">SUMIF(C5:C64,"Forgotten subscription",D5:D64)</f>
        <v>0</v>
      </c>
    </row>
    <row r="70" customFormat="false" ht="15" hidden="false" customHeight="false" outlineLevel="0" collapsed="false">
      <c r="C70" s="8" t="s">
        <v>62</v>
      </c>
      <c r="D70" s="17" t="n">
        <f aca="false">SUMIF(C5:C64,"Impulse buy",D5:D64)</f>
        <v>0</v>
      </c>
    </row>
    <row r="71" customFormat="false" ht="15" hidden="false" customHeight="false" outlineLevel="0" collapsed="false">
      <c r="C71" s="8" t="s">
        <v>63</v>
      </c>
      <c r="D71" s="17" t="n">
        <f aca="false">SUMIF(C5:C64,"Replacement",D5:D64)</f>
        <v>0</v>
      </c>
    </row>
    <row r="72" customFormat="false" ht="15" hidden="false" customHeight="false" outlineLevel="0" collapsed="false">
      <c r="C72" s="8" t="s">
        <v>64</v>
      </c>
      <c r="D72" s="17" t="n">
        <f aca="false">SUMIF(C5:C64,"Convenience",D5:D64)</f>
        <v>0</v>
      </c>
    </row>
    <row r="73" customFormat="false" ht="15" hidden="false" customHeight="false" outlineLevel="0" collapsed="false">
      <c r="C73" s="8" t="s">
        <v>65</v>
      </c>
      <c r="D73" s="17" t="n">
        <f aca="false">SUMIF(C5:C64,"Other",D5:D64)</f>
        <v>0</v>
      </c>
    </row>
  </sheetData>
  <dataValidations count="1">
    <dataValidation allowBlank="true" errorStyle="stop" operator="between" showDropDown="false" showErrorMessage="false" showInputMessage="false" sqref="C5:C64" type="list">
      <formula1>"Late fee,Forgotten subscription,Impulse buy,Replacement,Convenience,Other"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2026-10-30T11:56:00Z</dcterms:created>
  <dc:creator>openpyxl</dc:creator>
  <dc:description/>
  <dc:language>en-US</dc:language>
  <cp:lastModifiedBy/>
  <dcterms:modified xsi:type="dcterms:W3CDTF">2026-10-30T11:56:00Z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